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3ac2b7ba8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kulation" sheetId="1" r:id="R3d48f2a62d1545e3"/>
    <x:sheet xmlns:r="http://schemas.openxmlformats.org/officeDocument/2006/relationships" name="Szenarien" sheetId="2" r:id="R8123d3a19cc3481e"/>
    <x:sheet xmlns:r="http://schemas.openxmlformats.org/officeDocument/2006/relationships" name="Quellen" sheetId="3" r:id="R081f1ad91f5e43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0 &quot;€&quot;"/>
    <x:numFmt numFmtId="202" formatCode="0.00"/>
  </x:numFmts>
  <x:fonts count="4">
    <x:font>
      <x:sz val="11"/>
      <x:name val="Carlito"/>
    </x:font>
    <x:font>
      <x:sz val="11"/>
      <x:color rgb="FF050505"/>
      <x:name val="Arial"/>
    </x:font>
    <x:font>
      <x:b/>
      <x:sz val="20"/>
      <x:color rgb="FF05050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CC"/>
      </x:patternFill>
    </x:fill>
    <x:fill>
      <x:patternFill patternType="solid">
        <x:fgColor rgb="FF05050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5fc5df6064360" /><Relationship Type="http://schemas.openxmlformats.org/officeDocument/2006/relationships/theme" Target="/xl/theme/theme1.xml" Id="R688a53cbcaf544e1" /><Relationship Type="http://schemas.openxmlformats.org/officeDocument/2006/relationships/sharedStrings" Target="/xl/sharedStrings.xml" Id="R053f5fa13f554e35" /><Relationship Type="http://schemas.openxmlformats.org/officeDocument/2006/relationships/worksheet" Target="/xl/worksheets/sheet1.xml" Id="R3d48f2a62d1545e3" /><Relationship Type="http://schemas.openxmlformats.org/officeDocument/2006/relationships/worksheet" Target="/xl/worksheets/sheet2.xml" Id="R8123d3a19cc3481e" /><Relationship Type="http://schemas.openxmlformats.org/officeDocument/2006/relationships/worksheet" Target="/xl/worksheets/sheet3.xml" Id="R081f1ad91f5e43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3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7" hidden="0" customWidth="1"/>
    <x:col min="12" max="12" width="15" hidden="0" customWidth="1"/>
  </x:cols>
  <x:sheetData>
    <x:row r="1" ht="23" customHeight="1">
      <x:c r="A1" s="2" t="str">
        <x:v>OST Drop 001 Kalkulation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1" t="str">
        <x:v>Planung vom 10.09.2026. Regelbesteuerung und voller Vorsteuerabzug als Modellannahme.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2" t="str">
        <x:v>Gemeinsame Annahmen</x:v>
      </x:c>
      <x:c r="B4" s="12" t="str">
        <x:v>Wert</x:v>
      </x:c>
      <x:c r="C4" s="12" t="str">
        <x:v>Einordnung</x:v>
      </x:c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1" t="str">
        <x:v>Umsatzsteuer</x:v>
      </x:c>
      <x:c r="B5" s="5" t="n">
        <x:v>0.19</x:v>
      </x:c>
      <x:c r="C5" s="7" t="str">
        <x:v>Steuerstatus noch zu bestätigen</x:v>
      </x:c>
      <x:c r="D5" s="1"/>
      <x:c r="E5" s="1"/>
      <x:c r="F5" s="1"/>
      <x:c r="G5" s="1"/>
      <x:c r="H5" s="1"/>
      <x:c r="I5" s="1"/>
      <x:c r="J5" s="1"/>
      <x:c r="K5" s="1"/>
      <x:c r="L5" s="1"/>
    </x:row>
    <x:row r="6" ht="34" customHeight="1">
      <x:c r="A6" s="1" t="str">
        <x:v>Payment variabel</x:v>
      </x:c>
      <x:c r="B6" s="5" t="n">
        <x:v>0.02</x:v>
      </x:c>
      <x:c r="C6" s="7" t="str">
        <x:v>Annahme, im Shopify-Tarif prüfen</x:v>
      </x:c>
      <x:c r="D6" s="1"/>
      <x:c r="E6" s="1"/>
      <x:c r="F6" s="1"/>
      <x:c r="G6" s="1"/>
      <x:c r="H6" s="1"/>
      <x:c r="I6" s="1"/>
      <x:c r="J6" s="1"/>
      <x:c r="K6" s="1"/>
      <x:c r="L6" s="1"/>
    </x:row>
    <x:row r="7" ht="34" customHeight="1">
      <x:c r="A7" s="1" t="str">
        <x:v>Payment fix</x:v>
      </x:c>
      <x:c r="B7" s="6" t="n">
        <x:v>0.3</x:v>
      </x:c>
      <x:c r="C7" s="7" t="str">
        <x:v>EUR je Bestellung, Annahme</x:v>
      </x:c>
      <x:c r="D7" s="1"/>
      <x:c r="E7" s="1"/>
      <x:c r="F7" s="1"/>
      <x:c r="G7" s="1"/>
      <x:c r="H7" s="1"/>
      <x:c r="I7" s="1"/>
      <x:c r="J7" s="1"/>
      <x:c r="K7" s="1"/>
      <x:c r="L7" s="1"/>
    </x:row>
    <x:row r="8" ht="34" customHeight="1">
      <x:c r="A8" s="1" t="str">
        <x:v>Retourenreserve</x:v>
      </x:c>
      <x:c r="B8" s="5" t="n">
        <x:v>0.08</x:v>
      </x:c>
      <x:c r="C8" s="7" t="str">
        <x:v>Anteil am Netto-Warenumsatz, Annahme</x:v>
      </x:c>
      <x:c r="D8" s="1"/>
      <x:c r="E8" s="1"/>
      <x:c r="F8" s="1"/>
      <x:c r="G8" s="1"/>
      <x:c r="H8" s="1"/>
      <x:c r="I8" s="1"/>
      <x:c r="J8" s="1"/>
      <x:c r="K8" s="1"/>
      <x:c r="L8" s="1"/>
    </x:row>
    <x:row r="9" ht="34" customHeight="1">
      <x:c r="A9" s="1" t="str">
        <x:v>Versand an Kunden brutto</x:v>
      </x:c>
      <x:c r="B9" s="6" t="n">
        <x:v>4.9</x:v>
      </x:c>
      <x:c r="C9" s="7" t="str">
        <x:v>Plan, noch nicht festgelegt</x:v>
      </x:c>
      <x:c r="D9" s="1"/>
      <x:c r="E9" s="1"/>
      <x:c r="F9" s="1"/>
      <x:c r="G9" s="1"/>
      <x:c r="H9" s="1"/>
      <x:c r="I9" s="1"/>
      <x:c r="J9" s="1"/>
      <x:c r="K9" s="1"/>
      <x:c r="L9" s="1"/>
    </x:row>
    <x:row r="10" ht="34" customHeight="1">
      <x:c r="A10" s="1" t="str">
        <x:v>CAC je Neukunde</x:v>
      </x:c>
      <x:c r="B10" s="6" t="n">
        <x:v>10</x:v>
      </x:c>
      <x:c r="C10" s="7" t="str">
        <x:v>Test-Ziel, kein Istwert</x:v>
      </x:c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34" customHeight="1">
      <x:c r="A11" s="1" t="str">
        <x:v>Initialkosten</x:v>
      </x:c>
      <x:c r="B11" s="6" t="n">
        <x:v>1500</x:v>
      </x:c>
      <x:c r="C11" s="7" t="str">
        <x:v>Briefannahme, kein freigegebenes Budget</x:v>
      </x:c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48" customHeight="1">
      <x:c r="A14" s="12" t="str">
        <x:v>Produkt</x:v>
      </x:c>
      <x:c r="B14" s="12" t="str">
        <x:v>VK brutto</x:v>
      </x:c>
      <x:c r="C14" s="12" t="str">
        <x:v>POD netto</x:v>
      </x:c>
      <x:c r="D14" s="12" t="str">
        <x:v>Versand netto</x:v>
      </x:c>
      <x:c r="E14" s="12" t="str">
        <x:v>Branding netto</x:v>
      </x:c>
      <x:c r="F14" s="12" t="str">
        <x:v>Nettoerlös inkl. Versand</x:v>
      </x:c>
      <x:c r="G14" s="12" t="str">
        <x:v>Payment</x:v>
      </x:c>
      <x:c r="H14" s="12" t="str">
        <x:v>Reserve</x:v>
      </x:c>
      <x:c r="I14" s="12" t="str">
        <x:v>DB vor Ads</x:v>
      </x:c>
      <x:c r="J14" s="12" t="str">
        <x:v>DB nach Ads</x:v>
      </x:c>
      <x:c r="K14" s="12" t="str">
        <x:v>Einordnung</x:v>
      </x:c>
      <x:c r="L14" s="1"/>
    </x:row>
    <x:row r="15" ht="42" customHeight="1">
      <x:c r="A15" s="1" t="str">
        <x:v>Heavy Tee</x:v>
      </x:c>
      <x:c r="B15" s="6" t="n">
        <x:v>39.9</x:v>
      </x:c>
      <x:c r="C15" s="6" t="n">
        <x:v>15.747899159663865</x:v>
      </x:c>
      <x:c r="D15" s="6" t="n">
        <x:v>4.2</x:v>
      </x:c>
      <x:c r="E15" s="6" t="n">
        <x:v>0.5</x:v>
      </x:c>
      <x:c r="F15" s="4" t="n">
        <x:f>(B15+$B$9)/(1+$B$5)</x:f>
        <x:v>37.64705882352941</x:v>
      </x:c>
      <x:c r="G15" s="4" t="n">
        <x:f>(B15+$B$9)*$B$6+$B$7</x:f>
        <x:v>1.196</x:v>
      </x:c>
      <x:c r="H15" s="4" t="n">
        <x:f>B15/(1+$B$5)*$B$8</x:f>
        <x:v>2.682352941176471</x:v>
      </x:c>
      <x:c r="I15" s="4" t="n">
        <x:f>IF(COUNT(C15:E15)&lt;3,"Kosten fehlen",F15-SUM(C15:E15)-G15-H15)</x:f>
        <x:v>13.320806722689074</x:v>
      </x:c>
      <x:c r="J15" s="4" t="n">
        <x:f>IF(ISNUMBER(I15),I15-$B$10,"Kosten fehlen")</x:f>
        <x:v>3.320806722689074</x:v>
      </x:c>
      <x:c r="K15" s="7" t="str">
        <x:v>Katalogbasis Freestyler, Versand/Branding Annahme</x:v>
      </x:c>
      <x:c r="L15" s="1"/>
    </x:row>
    <x:row r="16" ht="42" customHeight="1">
      <x:c r="A16" s="1" t="str">
        <x:v>Heavy Hoodie</x:v>
      </x:c>
      <x:c r="B16" s="6" t="n">
        <x:v>74.9</x:v>
      </x:c>
      <x:c r="C16" s="6" t="n">
        <x:v>27.88</x:v>
      </x:c>
      <x:c r="D16" s="6" t="n">
        <x:v>4.8</x:v>
      </x:c>
      <x:c r="E16" s="6" t="n">
        <x:v>0.5</x:v>
      </x:c>
      <x:c r="F16" s="4" t="n">
        <x:f>(B16+$B$9)/(1+$B$5)</x:f>
        <x:v>67.05882352941178</x:v>
      </x:c>
      <x:c r="G16" s="4" t="n">
        <x:f>(B16+$B$9)*$B$6+$B$7</x:f>
        <x:v>1.8960000000000004</x:v>
      </x:c>
      <x:c r="H16" s="4" t="n">
        <x:f>B16/(1+$B$5)*$B$8</x:f>
        <x:v>5.03529411764706</x:v>
      </x:c>
      <x:c r="I16" s="4" t="n">
        <x:f>IF(COUNT(C16:E16)&lt;3,"Kosten fehlen",F16-SUM(C16:E16)-G16-H16)</x:f>
        <x:v>26.947529411764723</x:v>
      </x:c>
      <x:c r="J16" s="4" t="n">
        <x:f>IF(ISNUMBER(I16),I16-$B$10,"Kosten fehlen")</x:f>
        <x:v>16.947529411764723</x:v>
      </x:c>
      <x:c r="K16" s="7" t="str">
        <x:v>Katalogbasis Cruiser 2.0, anderer Fit als Mockup</x:v>
      </x:c>
      <x:c r="L16" s="1"/>
    </x:row>
    <x:row r="17" ht="42" customHeight="1">
      <x:c r="A17" s="1" t="str">
        <x:v>Cap</x:v>
      </x:c>
      <x:c r="B17" s="6" t="n">
        <x:v>32.9</x:v>
      </x:c>
      <x:c r="C17" s="6"/>
      <x:c r="D17" s="6" t="n">
        <x:v>4.2</x:v>
      </x:c>
      <x:c r="E17" s="6" t="n">
        <x:v>0.5</x:v>
      </x:c>
      <x:c r="F17" s="4" t="n">
        <x:f>(B17+$B$9)/(1+$B$5)</x:f>
        <x:v>31.76470588235294</x:v>
      </x:c>
      <x:c r="G17" s="4" t="n">
        <x:f>(B17+$B$9)*$B$6+$B$7</x:f>
        <x:v>1.056</x:v>
      </x:c>
      <x:c r="H17" s="4" t="n">
        <x:f>B17/(1+$B$5)*$B$8</x:f>
        <x:v>2.211764705882353</x:v>
      </x:c>
      <x:c r="I17" s="4" t="str">
        <x:f>IF(COUNT(C17:E17)&lt;3,"Kosten fehlen",F17-SUM(C17:E17)-G17-H17)</x:f>
        <x:v>Kosten fehlen</x:v>
      </x:c>
      <x:c r="J17" s="4" t="str">
        <x:f>IF(ISNUMBER(I17),I17-$B$10,"Kosten fehlen")</x:f>
        <x:v>Kosten fehlen</x:v>
      </x:c>
      <x:c r="K17" s="7" t="str">
        <x:v>Verbindliches Angebot fehlt</x:v>
      </x:c>
      <x:c r="L17" s="1"/>
    </x:row>
    <x:row r="18" ht="42" customHeight="1">
      <x:c r="A18" s="1" t="str">
        <x:v>Bucket Hat</x:v>
      </x:c>
      <x:c r="B18" s="6" t="n">
        <x:v>29.9</x:v>
      </x:c>
      <x:c r="C18" s="6"/>
      <x:c r="D18" s="6" t="n">
        <x:v>4.2</x:v>
      </x:c>
      <x:c r="E18" s="6" t="n">
        <x:v>0.5</x:v>
      </x:c>
      <x:c r="F18" s="4" t="n">
        <x:f>(B18+$B$9)/(1+$B$5)</x:f>
        <x:v>29.243697478991596</x:v>
      </x:c>
      <x:c r="G18" s="4" t="n">
        <x:f>(B18+$B$9)*$B$6+$B$7</x:f>
        <x:v>0.996</x:v>
      </x:c>
      <x:c r="H18" s="4" t="n">
        <x:f>B18/(1+$B$5)*$B$8</x:f>
        <x:v>2.0100840336134453</x:v>
      </x:c>
      <x:c r="I18" s="4" t="str">
        <x:f>IF(COUNT(C18:E18)&lt;3,"Kosten fehlen",F18-SUM(C18:E18)-G18-H18)</x:f>
        <x:v>Kosten fehlen</x:v>
      </x:c>
      <x:c r="J18" s="4" t="str">
        <x:f>IF(ISNUMBER(I18),I18-$B$10,"Kosten fehlen")</x:f>
        <x:v>Kosten fehlen</x:v>
      </x:c>
      <x:c r="K18" s="7" t="str">
        <x:v>Verbindliches Angebot fehlt</x:v>
      </x:c>
      <x:c r="L18" s="1"/>
    </x:row>
    <x:row r="19" ht="42" customHeight="1">
      <x:c r="A19" s="1" t="str">
        <x:v>Gymbag</x:v>
      </x:c>
      <x:c r="B19" s="6" t="n">
        <x:v>22.9</x:v>
      </x:c>
      <x:c r="C19" s="6"/>
      <x:c r="D19" s="6" t="n">
        <x:v>4.2</x:v>
      </x:c>
      <x:c r="E19" s="6" t="n">
        <x:v>0.5</x:v>
      </x:c>
      <x:c r="F19" s="4" t="n">
        <x:f>(B19+$B$9)/(1+$B$5)</x:f>
        <x:v>23.361344537815125</x:v>
      </x:c>
      <x:c r="G19" s="4" t="n">
        <x:f>(B19+$B$9)*$B$6+$B$7</x:f>
        <x:v>0.8559999999999999</x:v>
      </x:c>
      <x:c r="H19" s="4" t="n">
        <x:f>B19/(1+$B$5)*$B$8</x:f>
        <x:v>1.5394957983193276</x:v>
      </x:c>
      <x:c r="I19" s="4" t="str">
        <x:f>IF(COUNT(C19:E19)&lt;3,"Kosten fehlen",F19-SUM(C19:E19)-G19-H19)</x:f>
        <x:v>Kosten fehlen</x:v>
      </x:c>
      <x:c r="J19" s="4" t="str">
        <x:f>IF(ISNUMBER(I19),I19-$B$10,"Kosten fehlen")</x:f>
        <x:v>Kosten fehlen</x:v>
      </x:c>
      <x:c r="K19" s="7" t="str">
        <x:v>Verbindliches Angebot fehlt</x:v>
      </x:c>
      <x:c r="L19" s="1"/>
    </x:row>
    <x:row r="20" ht="42" customHeight="1">
      <x:c r="A20" s="1" t="str">
        <x:v>Tote Bag</x:v>
      </x:c>
      <x:c r="B20" s="6" t="n">
        <x:v>19.9</x:v>
      </x:c>
      <x:c r="C20" s="6" t="n">
        <x:v>7.495798319327731</x:v>
      </x:c>
      <x:c r="D20" s="6" t="n">
        <x:v>4.2</x:v>
      </x:c>
      <x:c r="E20" s="6" t="n">
        <x:v>0.5</x:v>
      </x:c>
      <x:c r="F20" s="4" t="n">
        <x:f>(B20+$B$9)/(1+$B$5)</x:f>
        <x:v>20.84033613445378</x:v>
      </x:c>
      <x:c r="G20" s="4" t="n">
        <x:f>(B20+$B$9)*$B$6+$B$7</x:f>
        <x:v>0.7959999999999999</x:v>
      </x:c>
      <x:c r="H20" s="4" t="n">
        <x:f>B20/(1+$B$5)*$B$8</x:f>
        <x:v>1.3378151260504203</x:v>
      </x:c>
      <x:c r="I20" s="4" t="n">
        <x:f>IF(COUNT(C20:E20)&lt;3,"Kosten fehlen",F20-SUM(C20:E20)-G20-H20)</x:f>
        <x:v>6.510722689075626</x:v>
      </x:c>
      <x:c r="J20" s="4" t="n">
        <x:f>IF(ISNUMBER(I20),I20-$B$10,"Kosten fehlen")</x:f>
        <x:v>-3.4892773109243738</x:v>
      </x:c>
      <x:c r="K20" s="7" t="str">
        <x:v>Katalogbasis Bag for Life, Versand Annahme</x:v>
      </x:c>
      <x:c r="L20" s="1"/>
    </x:row>
    <x:row r="21" ht="42" customHeight="1">
      <x:c r="A21" s="1" t="str">
        <x:v>Archiv A2 Poster</x:v>
      </x:c>
      <x:c r="B21" s="6" t="n">
        <x:v>29.9</x:v>
      </x:c>
      <x:c r="C21" s="6"/>
      <x:c r="D21" s="6" t="n">
        <x:v>5</x:v>
      </x:c>
      <x:c r="E21" s="6" t="n">
        <x:v>0.5</x:v>
      </x:c>
      <x:c r="F21" s="4" t="n">
        <x:f>(B21+$B$9)/(1+$B$5)</x:f>
        <x:v>29.243697478991596</x:v>
      </x:c>
      <x:c r="G21" s="4" t="n">
        <x:f>(B21+$B$9)*$B$6+$B$7</x:f>
        <x:v>0.996</x:v>
      </x:c>
      <x:c r="H21" s="4" t="n">
        <x:f>B21/(1+$B$5)*$B$8</x:f>
        <x:v>2.0100840336134453</x:v>
      </x:c>
      <x:c r="I21" s="4" t="str">
        <x:f>IF(COUNT(C21:E21)&lt;3,"Kosten fehlen",F21-SUM(C21:E21)-G21-H21)</x:f>
        <x:v>Kosten fehlen</x:v>
      </x:c>
      <x:c r="J21" s="4" t="str">
        <x:f>IF(ISNUMBER(I21),I21-$B$10,"Kosten fehlen")</x:f>
        <x:v>Kosten fehlen</x:v>
      </x:c>
      <x:c r="K21" s="7" t="str">
        <x:v>Produkt- und Lizenzkosten fehlen</x:v>
      </x:c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 t="str">
        <x:v>Gelbe Zellen sind Eingaben. Katalogpreise sind Untergrenzen, keine verbindlichen Lieferantenangebote.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 t="str">
        <x:v>Die Reserve ist eine Pauschale; tatsächliche Rückerstattungen, Rückporto und Wiederverkauf separat prüfen.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 t="str">
        <x:v>Nicht enthalten: laufende Fixkosten, Gründerlohn und Steuern auf Gewinne. Keine Aussage zur finalen Rentabilität.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4" hidden="0" customWidth="1"/>
    <x:col min="3" max="3" width="24" hidden="0" customWidth="1"/>
    <x:col min="4" max="4" width="24" hidden="0" customWidth="1"/>
    <x:col min="5" max="5" width="20" hidden="0" customWidth="1"/>
    <x:col min="6" max="6" width="20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2" t="str">
        <x:v>Bestellungen bis Break-even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1" t="str">
        <x:v>Einzelbestellungen, gleiche Kosten wie in Kalkulation. Nur variable Akquise und 1.500 EUR Initialkosten.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2" t="str">
        <x:v>CAC je Bestellung</x:v>
      </x:c>
      <x:c r="B4" s="12" t="str">
        <x:v>Heavy Tee</x:v>
      </x:c>
      <x:c r="C4" s="12" t="str">
        <x:v>Heavy Hoodie</x:v>
      </x:c>
      <x:c r="D4" s="12" t="str">
        <x:v>Brief-Modell DB 19,26</x:v>
      </x:c>
      <x:c r="E4" s="1" t="str"/>
      <x:c r="F4" s="1"/>
      <x:c r="G4" s="12" t="str">
        <x:v>Referenz aus Brief</x:v>
      </x:c>
      <x:c r="H4" s="12" t="str">
        <x:v>Wert</x:v>
      </x:c>
      <x:c r="I4" s="1"/>
      <x:c r="J4" s="1"/>
      <x:c r="K4" s="1"/>
      <x:c r="L4" s="1"/>
    </x:row>
    <x:row r="5" ht="23" customHeight="1">
      <x:c r="A5" s="4" t="n">
        <x:v>0</x:v>
      </x:c>
      <x:c r="B5" s="1" t="n">
        <x:f>IF('Kalkulation'!I15&lt;=A5,"Kein Break-even",ROUNDUP('Kalkulation'!$B$11/('Kalkulation'!I15-A5),0))</x:f>
        <x:v>113</x:v>
      </x:c>
      <x:c r="C5" s="1" t="n">
        <x:f>IF('Kalkulation'!I16&lt;=A5,"Kein Break-even",ROUNDUP('Kalkulation'!$B$11/('Kalkulation'!I16-A5),0))</x:f>
        <x:v>56</x:v>
      </x:c>
      <x:c r="D5" s="1" t="n">
        <x:f>IF($H$5&lt;=A5,"Kein Break-even",ROUNDUP($H$6/($H$5-A5),0))</x:f>
        <x:v>78</x:v>
      </x:c>
      <x:c r="E5" s="1"/>
      <x:c r="F5" s="1"/>
      <x:c r="G5" s="1" t="str">
        <x:v>DB je Bestellung</x:v>
      </x:c>
      <x:c r="H5" s="6" t="n">
        <x:v>19.26</x:v>
      </x:c>
      <x:c r="I5" s="1"/>
      <x:c r="J5" s="1"/>
      <x:c r="K5" s="1"/>
      <x:c r="L5" s="1"/>
    </x:row>
    <x:row r="6" ht="23" customHeight="1">
      <x:c r="A6" s="4" t="n">
        <x:v>5</x:v>
      </x:c>
      <x:c r="B6" s="1" t="n">
        <x:f>IF('Kalkulation'!I15&lt;=A6,"Kein Break-even",ROUNDUP('Kalkulation'!$B$11/('Kalkulation'!I15-A6),0))</x:f>
        <x:v>181</x:v>
      </x:c>
      <x:c r="C6" s="1" t="n">
        <x:f>IF('Kalkulation'!I16&lt;=A6,"Kein Break-even",ROUNDUP('Kalkulation'!$B$11/('Kalkulation'!I16-A6),0))</x:f>
        <x:v>69</x:v>
      </x:c>
      <x:c r="D6" s="1" t="n">
        <x:f>IF($H$5&lt;=A6,"Kein Break-even",ROUNDUP($H$6/($H$5-A6),0))</x:f>
        <x:v>106</x:v>
      </x:c>
      <x:c r="E6" s="1"/>
      <x:c r="F6" s="1"/>
      <x:c r="G6" s="1" t="str">
        <x:v>Initialkosten</x:v>
      </x:c>
      <x:c r="H6" s="6" t="n">
        <x:v>1500</x:v>
      </x:c>
      <x:c r="I6" s="1"/>
      <x:c r="J6" s="1"/>
      <x:c r="K6" s="1"/>
      <x:c r="L6" s="1"/>
    </x:row>
    <x:row r="7" ht="23" customHeight="1">
      <x:c r="A7" s="4" t="n">
        <x:v>10</x:v>
      </x:c>
      <x:c r="B7" s="1" t="n">
        <x:f>IF('Kalkulation'!I15&lt;=A7,"Kein Break-even",ROUNDUP('Kalkulation'!$B$11/('Kalkulation'!I15-A7),0))</x:f>
        <x:v>452</x:v>
      </x:c>
      <x:c r="C7" s="1" t="n">
        <x:f>IF('Kalkulation'!I16&lt;=A7,"Kein Break-even",ROUNDUP('Kalkulation'!$B$11/('Kalkulation'!I16-A7),0))</x:f>
        <x:v>89</x:v>
      </x:c>
      <x:c r="D7" s="1" t="n">
        <x:f>IF($H$5&lt;=A7,"Kein Break-even",ROUNDUP($H$6/($H$5-A7),0))</x:f>
        <x:v>162</x:v>
      </x:c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4" t="n">
        <x:v>15</x:v>
      </x:c>
      <x:c r="B8" s="1" t="str">
        <x:f>IF('Kalkulation'!I15&lt;=A8,"Kein Break-even",ROUNDUP('Kalkulation'!$B$11/('Kalkulation'!I15-A8),0))</x:f>
        <x:v>Kein Break-even</x:v>
      </x:c>
      <x:c r="C8" s="1" t="n">
        <x:f>IF('Kalkulation'!I16&lt;=A8,"Kein Break-even",ROUNDUP('Kalkulation'!$B$11/('Kalkulation'!I16-A8),0))</x:f>
        <x:v>126</x:v>
      </x:c>
      <x:c r="D8" s="1" t="n">
        <x:f>IF($H$5&lt;=A8,"Kein Break-even",ROUNDUP($H$6/($H$5-A8),0))</x:f>
        <x:v>353</x:v>
      </x:c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4" t="n">
        <x:v>20</x:v>
      </x:c>
      <x:c r="B9" s="1" t="str">
        <x:f>IF('Kalkulation'!I15&lt;=A9,"Kein Break-even",ROUNDUP('Kalkulation'!$B$11/('Kalkulation'!I15-A9),0))</x:f>
        <x:v>Kein Break-even</x:v>
      </x:c>
      <x:c r="C9" s="1" t="n">
        <x:f>IF('Kalkulation'!I16&lt;=A9,"Kein Break-even",ROUNDUP('Kalkulation'!$B$11/('Kalkulation'!I16-A9),0))</x:f>
        <x:v>216</x:v>
      </x:c>
      <x:c r="D9" s="1" t="str">
        <x:f>IF($H$5&lt;=A9,"Kein Break-even",ROUNDUP($H$6/($H$5-A9),0))</x:f>
        <x:v>Kein Break-even</x:v>
      </x:c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4" t="n">
        <x:v>25</x:v>
      </x:c>
      <x:c r="B10" s="1" t="str">
        <x:f>IF('Kalkulation'!I15&lt;=A10,"Kein Break-even",ROUNDUP('Kalkulation'!$B$11/('Kalkulation'!I15-A10),0))</x:f>
        <x:v>Kein Break-even</x:v>
      </x:c>
      <x:c r="C10" s="1" t="n">
        <x:f>IF('Kalkulation'!I16&lt;=A10,"Kein Break-even",ROUNDUP('Kalkulation'!$B$11/('Kalkulation'!I16-A10),0))</x:f>
        <x:v>771</x:v>
      </x:c>
      <x:c r="D10" s="1" t="str">
        <x:f>IF($H$5&lt;=A10,"Kein Break-even",ROUNDUP($H$6/($H$5-A10),0))</x:f>
        <x:v>Kein Break-even</x:v>
      </x:c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 t="str">
        <x:v>Bundles als Planung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2" t="str">
        <x:v>Bundle</x:v>
      </x:c>
      <x:c r="B14" s="12" t="str">
        <x:v>Preis brutto</x:v>
      </x:c>
      <x:c r="C14" s="12" t="str">
        <x:v>Versand netto</x:v>
      </x:c>
      <x:c r="D14" s="12" t="str">
        <x:v>Branding netto</x:v>
      </x:c>
      <x:c r="E14" s="12" t="str">
        <x:v>DB vor Ads</x:v>
      </x:c>
      <x:c r="F14" s="12" t="str">
        <x:v>DB nach Ads</x:v>
      </x:c>
      <x:c r="G14" s="1"/>
      <x:c r="H14" s="1"/>
      <x:c r="I14" s="1"/>
      <x:c r="J14" s="1"/>
      <x:c r="K14" s="1"/>
      <x:c r="L14" s="1"/>
    </x:row>
    <x:row r="15" ht="23" customHeight="1">
      <x:c r="A15" s="1" t="str">
        <x:v>OST STARTER</x:v>
      </x:c>
      <x:c r="B15" s="6" t="n">
        <x:v>66.9</x:v>
      </x:c>
      <x:c r="C15" s="6" t="n">
        <x:v>6</x:v>
      </x:c>
      <x:c r="D15" s="6" t="n">
        <x:v>0.7</x:v>
      </x:c>
      <x:c r="E15" s="4" t="str">
        <x:f>IF(COUNT('Kalkulation'!C15,'Kalkulation'!C21)&lt;2,"Kosten fehlen",(B15+'Kalkulation'!$B$9)/(1+'Kalkulation'!$B$5)-'Kalkulation'!C15-'Kalkulation'!C21-C15-D15-(B15+'Kalkulation'!$B$9)*'Kalkulation'!$B$6-'Kalkulation'!$B$7-B15/(1+'Kalkulation'!$B$5)*'Kalkulation'!$B$8)</x:f>
        <x:v>Kosten fehlen</x:v>
      </x:c>
      <x:c r="F15" s="4" t="str">
        <x:f>IF(ISNUMBER(E15),E15-'Kalkulation'!$B$10,"Kosten fehlen")</x:f>
        <x:v>Kosten fehlen</x:v>
      </x:c>
      <x:c r="G15" s="1"/>
      <x:c r="H15" s="1"/>
      <x:c r="I15" s="1"/>
      <x:c r="J15" s="1"/>
      <x:c r="K15" s="1"/>
      <x:c r="L15" s="1"/>
    </x:row>
    <x:row r="16" ht="23" customHeight="1">
      <x:c r="A16" s="1" t="str">
        <x:v>OST CORE</x:v>
      </x:c>
      <x:c r="B16" s="6" t="n">
        <x:v>99.9</x:v>
      </x:c>
      <x:c r="C16" s="6" t="n">
        <x:v>5.5</x:v>
      </x:c>
      <x:c r="D16" s="6" t="n">
        <x:v>0.7</x:v>
      </x:c>
      <x:c r="E16" s="4" t="str">
        <x:f>IF(COUNT('Kalkulation'!C16,'Kalkulation'!C17)&lt;2,"Kosten fehlen",(B16+'Kalkulation'!$B$9)/(1+'Kalkulation'!$B$5)-'Kalkulation'!C16-'Kalkulation'!C17-C16-D16-(B16+'Kalkulation'!$B$9)*'Kalkulation'!$B$6-'Kalkulation'!$B$7-B16/(1+'Kalkulation'!$B$5)*'Kalkulation'!$B$8)</x:f>
        <x:v>Kosten fehlen</x:v>
      </x:c>
      <x:c r="F16" s="4" t="str">
        <x:f>IF(ISNUMBER(E16),E16-'Kalkulation'!$B$10,"Kosten fehlen")</x:f>
        <x:v>Kosten fehlen</x:v>
      </x:c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 t="str">
        <x:v>Keine Bundle-Marge ohne belastbare Cap-/Poster-Kosten. Versand muss die tatsächliche Paketanzahl abbilden.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40" customHeight="1">
      <x:c r="A22" s="12" t="str">
        <x:v>Validierung</x:v>
      </x:c>
      <x:c r="B22" s="12" t="str">
        <x:v>Ziel</x:v>
      </x:c>
      <x:c r="C22" s="12" t="str">
        <x:v>Definition</x:v>
      </x:c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40" customHeight="1">
      <x:c r="A23" s="1" t="str">
        <x:v>Qualifizierte Besuche</x:v>
      </x:c>
      <x:c r="B23" s="1" t="n">
        <x:v>1000</x:v>
      </x:c>
      <x:c r="C23" s="7" t="str">
        <x:v>Bots und interne Tests ausschließen</x:v>
      </x:c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40" customHeight="1">
      <x:c r="A24" s="1" t="str">
        <x:v>Bestätigte Leads</x:v>
      </x:c>
      <x:c r="B24" s="1" t="n">
        <x:v>100</x:v>
      </x:c>
      <x:c r="C24" s="7" t="str">
        <x:v>Nur Double Opt-in bestätigt zählen</x:v>
      </x:c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40" customHeight="1">
      <x:c r="A25" s="1" t="str">
        <x:v>Echte Bestellungen</x:v>
      </x:c>
      <x:c r="B25" s="1" t="n">
        <x:v>50</x:v>
      </x:c>
      <x:c r="C25" s="7" t="str">
        <x:v>Stornos und Testkäufe abziehen</x:v>
      </x:c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40" customHeight="1">
      <x:c r="A26" s="1" t="str">
        <x:v>Blended CAC</x:v>
      </x:c>
      <x:c r="B26" s="1" t="n">
        <x:v>10</x:v>
      </x:c>
      <x:c r="C26" s="7" t="str">
        <x:v>Alle Akquisekosten / Neukunden</x:v>
      </x:c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28" hidden="0" customWidth="1"/>
    <x:col min="4" max="4" width="65" hidden="0" customWidth="1"/>
    <x:col min="5" max="5" width="5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2" t="str">
        <x:v>Quellen und Preisbasis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1" t="str">
        <x:v>Abruf am 10.09.2026. Anbieterwahl erst nach Mustervergleich.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2" t="str">
        <x:v>Anbieter / Position</x:v>
      </x:c>
      <x:c r="B4" s="12" t="str">
        <x:v>Preis</x:v>
      </x:c>
      <x:c r="C4" s="12" t="str">
        <x:v>Basis</x:v>
      </x:c>
      <x:c r="D4" s="12" t="str">
        <x:v>Quelle</x:v>
      </x:c>
      <x:c r="E4" s="12" t="str">
        <x:v>Hinweis</x:v>
      </x:c>
      <x:c r="F4" s="1"/>
      <x:c r="G4" s="1"/>
      <x:c r="H4" s="1"/>
      <x:c r="I4" s="1"/>
      <x:c r="J4" s="1"/>
      <x:c r="K4" s="1"/>
      <x:c r="L4" s="1"/>
    </x:row>
    <x:row r="5" ht="58" customHeight="1">
      <x:c r="A5" s="7" t="str">
        <x:v>Shirtigo Freestyler</x:v>
      </x:c>
      <x:c r="B5" s="9" t="n">
        <x:v>18.74</x:v>
      </x:c>
      <x:c r="C5" s="7" t="str">
        <x:v>EUR brutto, ab, einseitig</x:v>
      </x:c>
      <x:c r="D5" s="7" t="str">
        <x:v>https://cockpit.shirtigo.com/de/catalog</x:v>
      </x:c>
      <x:c r="E5" s="7" t="str">
        <x:v>MwSt. und Versand getrennt betrachten.</x:v>
      </x:c>
      <x:c r="F5" s="1"/>
      <x:c r="G5" s="1"/>
      <x:c r="H5" s="1"/>
      <x:c r="I5" s="1"/>
      <x:c r="J5" s="1"/>
      <x:c r="K5" s="1"/>
      <x:c r="L5" s="1"/>
    </x:row>
    <x:row r="6" ht="58" customHeight="1">
      <x:c r="A6" s="7" t="str">
        <x:v>Shirtigo Cruiser 2.0</x:v>
      </x:c>
      <x:c r="B6" s="9" t="n">
        <x:v>27.88</x:v>
      </x:c>
      <x:c r="C6" s="7" t="str">
        <x:v>EUR netto, einseitig</x:v>
      </x:c>
      <x:c r="D6" s="7" t="str">
        <x:v>https://cockpit.shirtigo.com/de/catalog/product/organic-hoodie</x:v>
      </x:c>
      <x:c r="E6" s="7" t="str">
        <x:v>350 GSM, normale Passform; Muster erforderlich.</x:v>
      </x:c>
      <x:c r="F6" s="1"/>
      <x:c r="G6" s="1"/>
      <x:c r="H6" s="1"/>
      <x:c r="I6" s="1"/>
      <x:c r="J6" s="1"/>
      <x:c r="K6" s="1"/>
      <x:c r="L6" s="1"/>
    </x:row>
    <x:row r="7" ht="58" customHeight="1">
      <x:c r="A7" s="7" t="str">
        <x:v>Shirtigo Bag for Life</x:v>
      </x:c>
      <x:c r="B7" s="9" t="n">
        <x:v>8.92</x:v>
      </x:c>
      <x:c r="C7" s="7" t="str">
        <x:v>EUR brutto, ab, einseitig</x:v>
      </x:c>
      <x:c r="D7" s="7" t="str">
        <x:v>https://cockpit.shirtigo.com/de/catalog</x:v>
      </x:c>
      <x:c r="E7" s="7" t="str">
        <x:v>Kein endgültiger Taschenlieferant gewählt.</x:v>
      </x:c>
      <x:c r="F7" s="1"/>
      <x:c r="G7" s="1"/>
      <x:c r="H7" s="1"/>
      <x:c r="I7" s="1"/>
      <x:c r="J7" s="1"/>
      <x:c r="K7" s="1"/>
      <x:c r="L7" s="1"/>
    </x:row>
    <x:row r="8" ht="58" customHeight="1">
      <x:c r="A8" s="7" t="str">
        <x:v>Printful Blaster 2.0</x:v>
      </x:c>
      <x:c r="B8" s="9" t="n">
        <x:v>17.22</x:v>
      </x:c>
      <x:c r="C8" s="7" t="str">
        <x:v>EUR inkl. VAT laut Anzeige</x:v>
      </x:c>
      <x:c r="D8" s="7" t="str">
        <x:v>https://www.printful.com/custom/mens/t-shirts</x:v>
      </x:c>
      <x:c r="E8" s="7" t="str">
        <x:v>Nicht als bindendes Deutschland-Angebot verwenden.</x:v>
      </x:c>
      <x:c r="F8" s="1"/>
      <x:c r="G8" s="1"/>
      <x:c r="H8" s="1"/>
      <x:c r="I8" s="1"/>
      <x:c r="J8" s="1"/>
      <x:c r="K8" s="1"/>
      <x:c r="L8" s="1"/>
    </x:row>
    <x:row r="9" ht="58" customHeight="1">
      <x:c r="A9" s="7" t="str">
        <x:v>Printify BY102</x:v>
      </x:c>
      <x:c r="B9" s="9" t="n">
        <x:v>19.57</x:v>
      </x:c>
      <x:c r="C9" s="7" t="str">
        <x:v>USD ab, ohne Premium</x:v>
      </x:c>
      <x:c r="D9" s="7" t="str">
        <x:v>https://printify.com/app/products/1627/build-your-brand/unisex-heavy-oversize-tee</x:v>
      </x:c>
      <x:c r="E9" s="7" t="str">
        <x:v>240 GSM. Angezeigter Versand war USA-Kontext; DE-Angebot fehlt.</x:v>
      </x:c>
      <x:c r="F9" s="1"/>
      <x:c r="G9" s="1"/>
      <x:c r="H9" s="1"/>
      <x:c r="I9" s="1"/>
      <x:c r="J9" s="1"/>
      <x:c r="K9" s="1"/>
      <x:c r="L9" s="1"/>
    </x:row>
    <x:row r="10" ht="58" customHeight="1">
      <x:c r="A10" s="7" t="str">
        <x:v>OST Master Brief</x:v>
      </x:c>
      <x:c r="B10" s="9"/>
      <x:c r="C10" s="7" t="str">
        <x:v>Planannahmen</x:v>
      </x:c>
      <x:c r="D10" s="7" t="str">
        <x:v>Vom Nutzer bereitgestellter Projektbrief</x:v>
      </x:c>
      <x:c r="E10" s="7" t="str">
        <x:v>VK, 1.500 EUR und 19,26 EUR stammen aus dem Brief.</x:v>
      </x:c>
      <x:c r="F10" s="1"/>
      <x:c r="G10" s="1"/>
      <x:c r="H10" s="1"/>
      <x:c r="I10" s="1"/>
      <x:c r="J10" s="1"/>
      <x:c r="K10" s="1"/>
      <x:c r="L10" s="1"/>
    </x:row>
    <x:row r="11" ht="58" customHeight="1">
      <x:c r="A11" s="7" t="str">
        <x:v>Payment / Versand / Reserve</x:v>
      </x:c>
      <x:c r="B11" s="9"/>
      <x:c r="C11" s="7" t="str">
        <x:v>Annahmen</x:v>
      </x:c>
      <x:c r="D11" s="7" t="str">
        <x:v>Keine verifizierten Konto-/Tarifangebote vorhanden</x:v>
      </x:c>
      <x:c r="E11" s="7" t="str">
        <x:v>Vor Preisfreigabe mit echten Angeboten ersetzen.</x:v>
      </x:c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